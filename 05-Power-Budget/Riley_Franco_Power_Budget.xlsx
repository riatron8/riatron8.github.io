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10bd\Downloads\"/>
    </mc:Choice>
  </mc:AlternateContent>
  <xr:revisionPtr revIDLastSave="0" documentId="8_{3D13D19D-1B9B-4201-9F46-AD80BE79A9EB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Power 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31" i="1"/>
  <c r="G30" i="1"/>
  <c r="G17" i="1"/>
  <c r="G38" i="1"/>
  <c r="G26" i="1"/>
  <c r="G12" i="1"/>
  <c r="G11" i="1"/>
  <c r="G10" i="1"/>
  <c r="G9" i="1"/>
  <c r="G8" i="1"/>
  <c r="G22" i="1" l="1"/>
  <c r="G24" i="1" s="1"/>
  <c r="G27" i="1" s="1"/>
  <c r="G34" i="1"/>
  <c r="G36" i="1" s="1"/>
  <c r="G3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<sst xmlns="http://schemas.openxmlformats.org/spreadsheetml/2006/main" count="91" uniqueCount="49">
  <si>
    <t>Power Budget Example</t>
  </si>
  <si>
    <t>Team Number:</t>
  </si>
  <si>
    <t>Project Name:</t>
  </si>
  <si>
    <t>Version:</t>
  </si>
  <si>
    <t>All Major Components</t>
  </si>
  <si>
    <t>Component Name</t>
  </si>
  <si>
    <t>Part Number</t>
  </si>
  <si>
    <t>Supply
Voltage
Range</t>
  </si>
  <si>
    <t>#</t>
  </si>
  <si>
    <t>Absolute
Maximum
Current (mA)</t>
  </si>
  <si>
    <t>Total
Current
(mA)</t>
  </si>
  <si>
    <t>Unit</t>
  </si>
  <si>
    <t>mA</t>
  </si>
  <si>
    <t>5V regulator</t>
  </si>
  <si>
    <t xml:space="preserve"> +12V Power Rail</t>
  </si>
  <si>
    <t xml:space="preserve">Subtotal </t>
  </si>
  <si>
    <t>Safety Margin</t>
  </si>
  <si>
    <t>Total Current Required on +12V Rail</t>
  </si>
  <si>
    <t>c1. Regulator or Source Choice</t>
  </si>
  <si>
    <t xml:space="preserve"> +12V - 35V</t>
  </si>
  <si>
    <t>Total Remaining Current Available on +12V Rail</t>
  </si>
  <si>
    <t xml:space="preserve"> +5V Power Rail</t>
  </si>
  <si>
    <t>Total Current Required on +5V Rail</t>
  </si>
  <si>
    <t>c2. Regulator or Source Choice</t>
  </si>
  <si>
    <t xml:space="preserve"> +5V Regulator</t>
  </si>
  <si>
    <t>Total Remaining Current Available on +5V Rail</t>
  </si>
  <si>
    <t xml:space="preserve"> +12V</t>
  </si>
  <si>
    <t>Trash Canner</t>
  </si>
  <si>
    <t>Name:</t>
  </si>
  <si>
    <t>Riley Franco</t>
  </si>
  <si>
    <t>Brushed DC motor</t>
  </si>
  <si>
    <t>Curisoity nano microcontroller</t>
  </si>
  <si>
    <t>Test LED</t>
  </si>
  <si>
    <t>H-bridge</t>
  </si>
  <si>
    <t>LM7805T</t>
  </si>
  <si>
    <t>Built-in-LED</t>
  </si>
  <si>
    <t>PIC18F57q43</t>
  </si>
  <si>
    <t>+1.8 - 5.5 V</t>
  </si>
  <si>
    <t xml:space="preserve"> +7V - 35V</t>
  </si>
  <si>
    <t xml:space="preserve"> +3-3.6V</t>
  </si>
  <si>
    <t xml:space="preserve"> +12V power supply</t>
  </si>
  <si>
    <t>ALITOVE 12V Power Supply</t>
  </si>
  <si>
    <t>FAN8100N</t>
  </si>
  <si>
    <t>+7V-35V</t>
  </si>
  <si>
    <t xml:space="preserve"> +3V-3.6V</t>
  </si>
  <si>
    <t>+1.8V - 5.5 V</t>
  </si>
  <si>
    <t>+2.2V-9V</t>
  </si>
  <si>
    <t>Pololu 3484</t>
  </si>
  <si>
    <t>Pololu 3483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</si>
</sst>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Calibri"/>
    </font>
    <font>
      <b/>
      <sz val="24"/>
      <color rgb="FF000000"/>
      <name val="Calibri"/>
    </font>
    <font>
      <b/>
      <sz val="12"/>
      <color rgb="FF000000"/>
      <name val="Calibri"/>
    </font>
    <font>
      <sz val="12"/>
      <name val="Calibri"/>
    </font>
    <font>
      <b/>
      <sz val="12"/>
      <color rgb="FF000000"/>
      <name val="Arial"/>
    </font>
    <font>
      <b/>
      <i/>
      <sz val="12"/>
      <color rgb="FF000000"/>
      <name val="Arial"/>
    </font>
    <font>
      <sz val="12"/>
      <color rgb="FF000000"/>
      <name val="Arial"/>
    </font>
    <font>
      <b/>
      <i/>
      <sz val="12"/>
      <color rgb="FF000000"/>
      <name val="Calibri"/>
    </font>
    <font>
      <sz val="12"/>
      <color rgb="FF000000"/>
      <name val="Calibri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2" fillId="0" borderId="0" xfId="0" applyFont="1" applyAlignment="1">
      <alignment horizontal="center"/>
    </xf>
    <xf numFmtId="0" fontId="4" fillId="0" borderId="1" xfId="0" applyFont="1" applyBorder="1"/>
    <xf numFmtId="0" fontId="2" fillId="0" borderId="0" xfId="0" applyFont="1"/>
    <xf numFmtId="0" fontId="4" fillId="0" borderId="0" xfId="0" applyFont="1"/>
    <xf numFmtId="0" fontId="4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8" xfId="0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/>
    <xf numFmtId="0" fontId="6" fillId="0" borderId="9" xfId="0" applyFont="1" applyBorder="1"/>
    <xf numFmtId="0" fontId="6" fillId="0" borderId="0" xfId="0" applyFont="1"/>
    <xf numFmtId="0" fontId="2" fillId="0" borderId="8" xfId="0" applyFont="1" applyBorder="1"/>
    <xf numFmtId="0" fontId="4" fillId="0" borderId="0" xfId="0" applyFont="1" applyAlignment="1">
      <alignment horizontal="center"/>
    </xf>
    <xf numFmtId="0" fontId="2" fillId="0" borderId="9" xfId="0" applyFont="1" applyBorder="1"/>
    <xf numFmtId="0" fontId="5" fillId="2" borderId="10" xfId="0" applyFont="1" applyFill="1" applyBorder="1"/>
    <xf numFmtId="9" fontId="0" fillId="0" borderId="9" xfId="0" applyNumberFormat="1" applyBorder="1"/>
    <xf numFmtId="0" fontId="7" fillId="0" borderId="8" xfId="0" applyFont="1" applyBorder="1"/>
    <xf numFmtId="0" fontId="5" fillId="0" borderId="8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0" fillId="0" borderId="9" xfId="0" applyBorder="1" applyAlignment="1">
      <alignment horizontal="right"/>
    </xf>
    <xf numFmtId="0" fontId="5" fillId="0" borderId="11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8" fillId="0" borderId="0" xfId="0" applyFont="1"/>
    <xf numFmtId="4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9" xfId="0" applyFont="1" applyBorder="1"/>
    <xf numFmtId="0" fontId="8" fillId="0" borderId="0" xfId="0" quotePrefix="1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quotePrefix="1" applyFont="1" applyAlignment="1">
      <alignment horizontal="center"/>
    </xf>
    <xf numFmtId="49" fontId="5" fillId="0" borderId="15" xfId="0" applyNumberFormat="1" applyFont="1" applyBorder="1" applyAlignment="1">
      <alignment horizontal="right"/>
    </xf>
    <xf numFmtId="49" fontId="5" fillId="0" borderId="12" xfId="0" applyNumberFormat="1" applyFont="1" applyBorder="1" applyAlignment="1">
      <alignment horizontal="right"/>
    </xf>
    <xf numFmtId="0" fontId="3" fillId="0" borderId="12" xfId="0" applyFont="1" applyBorder="1"/>
    <xf numFmtId="0" fontId="5" fillId="0" borderId="0" xfId="0" applyFont="1" applyAlignment="1">
      <alignment horizontal="right"/>
    </xf>
    <xf numFmtId="0" fontId="0" fillId="0" borderId="0" xfId="0"/>
    <xf numFmtId="0" fontId="7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0" fontId="0" fillId="0" borderId="0" xfId="0" applyBorder="1"/>
    <xf numFmtId="0" fontId="6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/>
    <xf numFmtId="0" fontId="5" fillId="0" borderId="0" xfId="0" applyFont="1" applyBorder="1" applyAlignment="1">
      <alignment wrapText="1"/>
    </xf>
    <xf numFmtId="0" fontId="5" fillId="0" borderId="0" xfId="0" applyFont="1" applyBorder="1"/>
    <xf numFmtId="0" fontId="5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4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9" fillId="0" borderId="0" xfId="0" applyFont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right"/>
    </xf>
    <xf numFmtId="0" fontId="9" fillId="0" borderId="0" xfId="0" applyFont="1" applyBorder="1" applyAlignment="1">
      <alignment horizontal="left"/>
    </xf>
    <xf numFmtId="0" fontId="9" fillId="0" borderId="0" xfId="0" quotePrefix="1" applyFont="1" applyBorder="1" applyAlignment="1">
      <alignment horizontal="center"/>
    </xf>
    <xf numFmtId="0" fontId="5" fillId="0" borderId="14" xfId="0" applyFont="1" applyBorder="1" applyAlignment="1">
      <alignment horizontal="left"/>
    </xf>
    <xf numFmtId="0" fontId="3" fillId="0" borderId="15" xfId="0" applyFont="1" applyBorder="1"/>
    <xf numFmtId="0" fontId="0" fillId="0" borderId="13" xfId="0" applyBorder="1" applyAlignment="1">
      <alignment horizontal="right"/>
    </xf>
    <xf numFmtId="0" fontId="6" fillId="0" borderId="13" xfId="0" applyFont="1" applyBorder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8"/>
  <sheetViews>
    <sheetView tabSelected="1" zoomScale="60" workbookViewId="0">
      <selection activeCell="F51" sqref="F51"/>
    </sheetView>
  </sheetViews>
  <sheetFormatPr defaultColWidth="13.4375" defaultRowHeight="15.75" customHeight="1" x14ac:dyDescent="0.5"/>
  <cols>
    <col min="1" max="1" width="38.3125" customWidth="1"/>
    <col min="2" max="2" width="26.8125" customWidth="1"/>
    <col min="3" max="3" width="27.3125" customWidth="1"/>
    <col min="4" max="4" width="24.375" customWidth="1"/>
    <col min="5" max="5" width="22.25" customWidth="1"/>
    <col min="6" max="6" width="34.125" customWidth="1"/>
    <col min="7" max="7" width="22.5625" customWidth="1"/>
    <col min="8" max="8" width="9" customWidth="1"/>
  </cols>
  <sheetData>
    <row r="1" spans="1:8" ht="30" customHeight="1" x14ac:dyDescent="0.9">
      <c r="A1" s="43" t="s">
        <v>0</v>
      </c>
      <c r="B1" s="41"/>
      <c r="C1" s="41"/>
      <c r="D1" s="41"/>
      <c r="E1" s="41"/>
      <c r="F1" s="41"/>
      <c r="G1" s="41"/>
      <c r="H1" s="41"/>
    </row>
    <row r="2" spans="1:8" ht="15" customHeight="1" x14ac:dyDescent="0.5">
      <c r="A2" s="1" t="s">
        <v>1</v>
      </c>
      <c r="B2" s="2">
        <v>207</v>
      </c>
      <c r="D2" s="3"/>
      <c r="E2" s="3"/>
    </row>
    <row r="3" spans="1:8" ht="15" customHeight="1" x14ac:dyDescent="0.5">
      <c r="A3" s="4" t="s">
        <v>2</v>
      </c>
      <c r="B3" s="1" t="s">
        <v>27</v>
      </c>
      <c r="C3" s="5"/>
      <c r="D3" s="3"/>
      <c r="E3" s="3"/>
      <c r="F3" s="5"/>
      <c r="G3" s="5"/>
      <c r="H3" s="5"/>
    </row>
    <row r="4" spans="1:8" ht="15" customHeight="1" x14ac:dyDescent="0.5">
      <c r="A4" s="4" t="s">
        <v>28</v>
      </c>
      <c r="B4" s="1" t="s">
        <v>29</v>
      </c>
      <c r="C4" s="5"/>
      <c r="D4" s="3"/>
      <c r="E4" s="3"/>
      <c r="F4" s="5"/>
      <c r="G4" s="5"/>
      <c r="H4" s="5"/>
    </row>
    <row r="5" spans="1:8" ht="15" customHeight="1" x14ac:dyDescent="0.5">
      <c r="A5" s="4" t="s">
        <v>3</v>
      </c>
      <c r="B5" s="1">
        <v>2</v>
      </c>
      <c r="C5" s="5"/>
      <c r="D5" s="3"/>
      <c r="E5" s="3"/>
      <c r="F5" s="5"/>
      <c r="G5" s="5"/>
      <c r="H5" s="5"/>
    </row>
    <row r="6" spans="1:8" ht="15" customHeight="1" x14ac:dyDescent="0.5">
      <c r="A6" s="6"/>
      <c r="B6" s="5"/>
      <c r="C6" s="5"/>
      <c r="D6" s="3"/>
      <c r="E6" s="3"/>
      <c r="F6" s="5"/>
      <c r="G6" s="5"/>
      <c r="H6" s="5"/>
    </row>
    <row r="7" spans="1:8" ht="15" customHeight="1" x14ac:dyDescent="0.5">
      <c r="A7" s="7" t="s">
        <v>4</v>
      </c>
      <c r="B7" s="8" t="s">
        <v>5</v>
      </c>
      <c r="C7" s="8" t="s">
        <v>6</v>
      </c>
      <c r="D7" s="9" t="s">
        <v>7</v>
      </c>
      <c r="E7" s="9" t="s">
        <v>8</v>
      </c>
      <c r="F7" s="10" t="s">
        <v>9</v>
      </c>
      <c r="G7" s="11" t="s">
        <v>10</v>
      </c>
      <c r="H7" s="11" t="s">
        <v>11</v>
      </c>
    </row>
    <row r="8" spans="1:8" ht="15" customHeight="1" x14ac:dyDescent="0.5">
      <c r="A8" s="12"/>
      <c r="B8" s="30" t="s">
        <v>33</v>
      </c>
      <c r="C8" s="30" t="s">
        <v>42</v>
      </c>
      <c r="D8" s="34" t="s">
        <v>46</v>
      </c>
      <c r="E8" s="32">
        <v>1</v>
      </c>
      <c r="F8" s="30">
        <v>65</v>
      </c>
      <c r="G8" s="33">
        <f t="shared" ref="G8:G12" si="0">E8*F8</f>
        <v>65</v>
      </c>
      <c r="H8" s="33" t="s">
        <v>12</v>
      </c>
    </row>
    <row r="9" spans="1:8" ht="15" customHeight="1" x14ac:dyDescent="0.5">
      <c r="A9" s="12"/>
      <c r="B9" t="s">
        <v>30</v>
      </c>
      <c r="C9" s="30" t="s">
        <v>47</v>
      </c>
      <c r="D9" s="32" t="s">
        <v>26</v>
      </c>
      <c r="E9" s="32">
        <v>1</v>
      </c>
      <c r="F9" s="30">
        <v>2500</v>
      </c>
      <c r="G9" s="33">
        <f t="shared" si="0"/>
        <v>2500</v>
      </c>
      <c r="H9" s="33" t="s">
        <v>12</v>
      </c>
    </row>
    <row r="10" spans="1:8" ht="15" customHeight="1" x14ac:dyDescent="0.5">
      <c r="A10" s="12"/>
      <c r="B10" t="s">
        <v>31</v>
      </c>
      <c r="C10" t="s">
        <v>36</v>
      </c>
      <c r="D10" s="34" t="s">
        <v>45</v>
      </c>
      <c r="E10" s="32">
        <v>1</v>
      </c>
      <c r="F10" s="30">
        <v>50</v>
      </c>
      <c r="G10" s="33">
        <f t="shared" si="0"/>
        <v>50</v>
      </c>
      <c r="H10" s="33" t="s">
        <v>12</v>
      </c>
    </row>
    <row r="11" spans="1:8" ht="15" customHeight="1" x14ac:dyDescent="0.5">
      <c r="A11" s="12"/>
      <c r="B11" s="30" t="s">
        <v>32</v>
      </c>
      <c r="C11" s="30" t="s">
        <v>35</v>
      </c>
      <c r="D11" s="31" t="s">
        <v>44</v>
      </c>
      <c r="E11" s="32">
        <v>1</v>
      </c>
      <c r="F11" s="30">
        <v>20</v>
      </c>
      <c r="G11" s="33">
        <f t="shared" si="0"/>
        <v>20</v>
      </c>
      <c r="H11" s="33" t="s">
        <v>12</v>
      </c>
    </row>
    <row r="12" spans="1:8" ht="15" customHeight="1" x14ac:dyDescent="0.5">
      <c r="A12" s="12"/>
      <c r="B12" t="s">
        <v>13</v>
      </c>
      <c r="C12" s="30" t="s">
        <v>34</v>
      </c>
      <c r="D12" s="32" t="s">
        <v>38</v>
      </c>
      <c r="E12" s="32">
        <v>1</v>
      </c>
      <c r="F12" s="30">
        <v>1000</v>
      </c>
      <c r="G12" s="33">
        <f t="shared" si="0"/>
        <v>1000</v>
      </c>
      <c r="H12" s="33" t="s">
        <v>12</v>
      </c>
    </row>
    <row r="13" spans="1:8" ht="15" customHeight="1" x14ac:dyDescent="0.5">
      <c r="A13" s="12"/>
      <c r="B13" s="17"/>
      <c r="D13" s="32"/>
      <c r="E13" s="32"/>
      <c r="F13" s="30"/>
      <c r="G13" s="33"/>
      <c r="H13" s="33"/>
    </row>
    <row r="14" spans="1:8" ht="15" customHeight="1" x14ac:dyDescent="0.5">
      <c r="A14" s="18"/>
      <c r="B14" s="6"/>
      <c r="C14" s="5"/>
      <c r="D14" s="19"/>
      <c r="E14" s="3"/>
      <c r="F14" s="5"/>
      <c r="G14" s="20"/>
      <c r="H14" s="20"/>
    </row>
    <row r="15" spans="1:8" ht="15" customHeight="1" x14ac:dyDescent="0.5">
      <c r="A15" s="44"/>
      <c r="B15" s="45"/>
      <c r="C15" s="45"/>
      <c r="D15" s="45"/>
      <c r="E15" s="45"/>
      <c r="F15" s="45"/>
      <c r="G15" s="45"/>
      <c r="H15" s="46"/>
    </row>
    <row r="16" spans="1:8" ht="15" customHeight="1" x14ac:dyDescent="0.5">
      <c r="A16" s="21" t="s">
        <v>14</v>
      </c>
      <c r="B16" s="8" t="s">
        <v>5</v>
      </c>
      <c r="C16" s="8" t="s">
        <v>6</v>
      </c>
      <c r="D16" s="9" t="s">
        <v>7</v>
      </c>
      <c r="E16" s="9" t="s">
        <v>8</v>
      </c>
      <c r="F16" s="10" t="s">
        <v>9</v>
      </c>
      <c r="G16" s="11" t="s">
        <v>10</v>
      </c>
      <c r="H16" s="11" t="s">
        <v>11</v>
      </c>
    </row>
    <row r="17" spans="1:8" ht="15" customHeight="1" x14ac:dyDescent="0.5">
      <c r="A17" s="12"/>
      <c r="B17" t="s">
        <v>30</v>
      </c>
      <c r="C17" s="30" t="s">
        <v>48</v>
      </c>
      <c r="D17" s="32" t="s">
        <v>26</v>
      </c>
      <c r="E17" s="32">
        <v>1</v>
      </c>
      <c r="F17" s="30">
        <v>2500</v>
      </c>
      <c r="G17" s="33">
        <f t="shared" ref="G17:G18" si="1">E17*F17</f>
        <v>2500</v>
      </c>
      <c r="H17" s="33" t="s">
        <v>12</v>
      </c>
    </row>
    <row r="18" spans="1:8" ht="15" customHeight="1" x14ac:dyDescent="0.5">
      <c r="A18" s="12"/>
      <c r="C18" s="30"/>
      <c r="D18" s="32"/>
      <c r="E18" s="32"/>
      <c r="F18" s="15"/>
      <c r="G18" s="33"/>
      <c r="H18" s="33"/>
    </row>
    <row r="19" spans="1:8" ht="15" customHeight="1" x14ac:dyDescent="0.5">
      <c r="A19" s="12"/>
      <c r="D19" s="14"/>
      <c r="E19" s="14"/>
      <c r="G19" s="15"/>
      <c r="H19" s="16"/>
    </row>
    <row r="20" spans="1:8" ht="15" customHeight="1" x14ac:dyDescent="0.5">
      <c r="A20" s="12"/>
      <c r="D20" s="14"/>
      <c r="E20" s="14"/>
      <c r="G20" s="15"/>
      <c r="H20" s="16"/>
    </row>
    <row r="21" spans="1:8" ht="15" customHeight="1" x14ac:dyDescent="0.5">
      <c r="A21" s="12"/>
      <c r="D21" s="14"/>
      <c r="E21" s="14"/>
      <c r="G21" s="15"/>
      <c r="H21" s="16"/>
    </row>
    <row r="22" spans="1:8" ht="15" customHeight="1" x14ac:dyDescent="0.5">
      <c r="A22" s="12"/>
      <c r="B22" s="42" t="s">
        <v>15</v>
      </c>
      <c r="C22" s="41"/>
      <c r="D22" s="41"/>
      <c r="E22" s="41"/>
      <c r="F22" s="41"/>
      <c r="G22" s="15">
        <f>SUM(G17:G21)</f>
        <v>2500</v>
      </c>
      <c r="H22" s="16" t="s">
        <v>12</v>
      </c>
    </row>
    <row r="23" spans="1:8" ht="15" customHeight="1" x14ac:dyDescent="0.5">
      <c r="A23" s="12"/>
      <c r="B23" s="42" t="s">
        <v>16</v>
      </c>
      <c r="C23" s="41"/>
      <c r="D23" s="41"/>
      <c r="E23" s="41"/>
      <c r="F23" s="41"/>
      <c r="G23" s="22">
        <v>0.25</v>
      </c>
      <c r="H23" s="22"/>
    </row>
    <row r="24" spans="1:8" ht="15" customHeight="1" x14ac:dyDescent="0.5">
      <c r="A24" s="23"/>
      <c r="B24" s="40" t="s">
        <v>17</v>
      </c>
      <c r="C24" s="41"/>
      <c r="D24" s="41"/>
      <c r="E24" s="41"/>
      <c r="F24" s="41"/>
      <c r="G24" s="15">
        <f>G22*(1+G23)</f>
        <v>3125</v>
      </c>
      <c r="H24" s="16" t="s">
        <v>12</v>
      </c>
    </row>
    <row r="25" spans="1:8" ht="15" customHeight="1" x14ac:dyDescent="0.5">
      <c r="A25" s="24"/>
      <c r="B25" s="25"/>
      <c r="C25" s="25"/>
      <c r="D25" s="13"/>
      <c r="E25" s="13"/>
      <c r="F25" s="26"/>
      <c r="G25" s="27"/>
      <c r="H25" s="15"/>
    </row>
    <row r="26" spans="1:8" ht="15" customHeight="1" x14ac:dyDescent="0.5">
      <c r="A26" s="24" t="s">
        <v>18</v>
      </c>
      <c r="B26" s="35" t="s">
        <v>40</v>
      </c>
      <c r="C26" s="35" t="s">
        <v>41</v>
      </c>
      <c r="D26" s="13" t="s">
        <v>19</v>
      </c>
      <c r="E26" s="13">
        <v>1</v>
      </c>
      <c r="F26" s="26">
        <v>5000</v>
      </c>
      <c r="G26" s="27">
        <f>E26*F26</f>
        <v>5000</v>
      </c>
      <c r="H26" s="16" t="s">
        <v>12</v>
      </c>
    </row>
    <row r="27" spans="1:8" ht="15" customHeight="1" x14ac:dyDescent="0.5">
      <c r="A27" s="28"/>
      <c r="B27" s="38" t="s">
        <v>20</v>
      </c>
      <c r="C27" s="39"/>
      <c r="D27" s="39"/>
      <c r="E27" s="39"/>
      <c r="F27" s="39"/>
      <c r="G27" s="27">
        <f>G26-G24</f>
        <v>1875</v>
      </c>
      <c r="H27" s="16" t="s">
        <v>12</v>
      </c>
    </row>
    <row r="28" spans="1:8" ht="15" customHeight="1" x14ac:dyDescent="0.5">
      <c r="A28" s="21" t="s">
        <v>21</v>
      </c>
      <c r="B28" s="8" t="s">
        <v>5</v>
      </c>
      <c r="C28" s="8" t="s">
        <v>6</v>
      </c>
      <c r="D28" s="9" t="s">
        <v>7</v>
      </c>
      <c r="E28" s="9" t="s">
        <v>8</v>
      </c>
      <c r="F28" s="10" t="s">
        <v>9</v>
      </c>
      <c r="G28" s="29" t="s">
        <v>10</v>
      </c>
      <c r="H28" s="29" t="s">
        <v>11</v>
      </c>
    </row>
    <row r="29" spans="1:8" ht="15" customHeight="1" x14ac:dyDescent="0.5">
      <c r="A29" s="12"/>
      <c r="B29" s="30" t="s">
        <v>33</v>
      </c>
      <c r="C29" s="30" t="s">
        <v>42</v>
      </c>
      <c r="D29" s="34" t="s">
        <v>46</v>
      </c>
      <c r="E29" s="32">
        <v>1</v>
      </c>
      <c r="F29" s="30">
        <v>65</v>
      </c>
      <c r="G29" s="33">
        <f t="shared" ref="G29" si="2">E29*F29</f>
        <v>65</v>
      </c>
      <c r="H29" s="33" t="s">
        <v>12</v>
      </c>
    </row>
    <row r="30" spans="1:8" ht="15" customHeight="1" x14ac:dyDescent="0.5">
      <c r="A30" s="12"/>
      <c r="B30" t="s">
        <v>31</v>
      </c>
      <c r="C30" t="s">
        <v>36</v>
      </c>
      <c r="D30" s="34" t="s">
        <v>37</v>
      </c>
      <c r="E30" s="32">
        <v>1</v>
      </c>
      <c r="F30" s="30">
        <v>50</v>
      </c>
      <c r="G30" s="33">
        <f t="shared" ref="G30:G31" si="3">E30*F30</f>
        <v>50</v>
      </c>
      <c r="H30" s="33" t="s">
        <v>12</v>
      </c>
    </row>
    <row r="31" spans="1:8" ht="15" customHeight="1" x14ac:dyDescent="0.5">
      <c r="A31" s="12"/>
      <c r="B31" s="30" t="s">
        <v>32</v>
      </c>
      <c r="C31" s="30" t="s">
        <v>35</v>
      </c>
      <c r="D31" s="31" t="s">
        <v>39</v>
      </c>
      <c r="E31" s="32">
        <v>1</v>
      </c>
      <c r="F31" s="30">
        <v>20</v>
      </c>
      <c r="G31" s="33">
        <f t="shared" si="3"/>
        <v>20</v>
      </c>
      <c r="H31" s="33" t="s">
        <v>12</v>
      </c>
    </row>
    <row r="32" spans="1:8" ht="15" customHeight="1" x14ac:dyDescent="0.5">
      <c r="A32" s="12"/>
      <c r="D32" s="14"/>
      <c r="E32" s="14"/>
      <c r="G32" s="15"/>
      <c r="H32" s="16"/>
    </row>
    <row r="33" spans="1:8" ht="15" customHeight="1" x14ac:dyDescent="0.5">
      <c r="A33" s="12"/>
      <c r="D33" s="14"/>
      <c r="E33" s="14"/>
      <c r="G33" s="15"/>
      <c r="H33" s="16"/>
    </row>
    <row r="34" spans="1:8" ht="15" customHeight="1" x14ac:dyDescent="0.5">
      <c r="A34" s="12"/>
      <c r="B34" s="42" t="s">
        <v>15</v>
      </c>
      <c r="C34" s="41"/>
      <c r="D34" s="41"/>
      <c r="E34" s="41"/>
      <c r="F34" s="41"/>
      <c r="G34" s="15">
        <f>SUM(G29:G33)</f>
        <v>135</v>
      </c>
      <c r="H34" s="16" t="s">
        <v>12</v>
      </c>
    </row>
    <row r="35" spans="1:8" ht="15" customHeight="1" x14ac:dyDescent="0.5">
      <c r="A35" s="12"/>
      <c r="B35" s="42" t="s">
        <v>16</v>
      </c>
      <c r="C35" s="41"/>
      <c r="D35" s="41"/>
      <c r="E35" s="41"/>
      <c r="F35" s="41"/>
      <c r="G35" s="22">
        <v>0.25</v>
      </c>
      <c r="H35" s="22"/>
    </row>
    <row r="36" spans="1:8" ht="15" customHeight="1" x14ac:dyDescent="0.5">
      <c r="A36" s="23"/>
      <c r="B36" s="40" t="s">
        <v>22</v>
      </c>
      <c r="C36" s="41"/>
      <c r="D36" s="41"/>
      <c r="E36" s="41"/>
      <c r="F36" s="41"/>
      <c r="G36" s="15">
        <f>G34*(1+G35)</f>
        <v>168.75</v>
      </c>
      <c r="H36" s="16" t="s">
        <v>12</v>
      </c>
    </row>
    <row r="37" spans="1:8" ht="15" customHeight="1" x14ac:dyDescent="0.5">
      <c r="A37" s="24"/>
      <c r="B37" s="25"/>
      <c r="C37" s="25"/>
      <c r="D37" s="13"/>
      <c r="E37" s="13"/>
      <c r="F37" s="26"/>
      <c r="G37" s="27"/>
      <c r="H37" s="15"/>
    </row>
    <row r="38" spans="1:8" ht="15" customHeight="1" x14ac:dyDescent="0.5">
      <c r="A38" s="24" t="s">
        <v>23</v>
      </c>
      <c r="B38" s="25" t="s">
        <v>24</v>
      </c>
      <c r="C38" s="35" t="s">
        <v>34</v>
      </c>
      <c r="D38" s="36" t="s">
        <v>43</v>
      </c>
      <c r="E38" s="13">
        <v>1</v>
      </c>
      <c r="F38" s="26">
        <v>1000</v>
      </c>
      <c r="G38" s="27">
        <f>E38*F38</f>
        <v>1000</v>
      </c>
      <c r="H38" s="16" t="s">
        <v>12</v>
      </c>
    </row>
    <row r="39" spans="1:8" ht="15" customHeight="1" x14ac:dyDescent="0.5">
      <c r="A39" s="67"/>
      <c r="B39" s="37" t="s">
        <v>25</v>
      </c>
      <c r="C39" s="68"/>
      <c r="D39" s="68"/>
      <c r="E39" s="68"/>
      <c r="F39" s="68"/>
      <c r="G39" s="69">
        <f>G38-G36</f>
        <v>831.25</v>
      </c>
      <c r="H39" s="70" t="s">
        <v>12</v>
      </c>
    </row>
    <row r="40" spans="1:8" ht="15" customHeight="1" x14ac:dyDescent="0.5">
      <c r="A40" s="47"/>
      <c r="B40" s="48"/>
      <c r="C40" s="49"/>
      <c r="D40" s="50"/>
      <c r="E40" s="51"/>
      <c r="F40" s="49"/>
      <c r="G40" s="49"/>
      <c r="H40" s="52"/>
    </row>
    <row r="41" spans="1:8" ht="15" customHeight="1" x14ac:dyDescent="0.5">
      <c r="A41" s="53"/>
      <c r="B41" s="53"/>
      <c r="C41" s="53"/>
      <c r="D41" s="53"/>
      <c r="E41" s="53"/>
      <c r="F41" s="53"/>
      <c r="G41" s="54"/>
      <c r="H41" s="54"/>
    </row>
    <row r="42" spans="1:8" ht="15" customHeight="1" x14ac:dyDescent="0.5">
      <c r="A42" s="55"/>
      <c r="B42" s="56"/>
      <c r="C42" s="56"/>
      <c r="D42" s="57"/>
      <c r="E42" s="58"/>
      <c r="F42" s="57"/>
      <c r="G42" s="57"/>
      <c r="H42" s="57"/>
    </row>
    <row r="43" spans="1:8" ht="15" customHeight="1" x14ac:dyDescent="0.5">
      <c r="A43" s="59"/>
      <c r="B43" s="60"/>
      <c r="C43" s="50"/>
      <c r="D43" s="61"/>
      <c r="E43" s="50"/>
      <c r="F43" s="62"/>
      <c r="G43" s="62"/>
      <c r="H43" s="60"/>
    </row>
    <row r="44" spans="1:8" ht="15" customHeight="1" x14ac:dyDescent="0.5">
      <c r="A44" s="63"/>
      <c r="B44" s="60"/>
      <c r="C44" s="60"/>
      <c r="D44" s="50"/>
      <c r="E44" s="50"/>
      <c r="F44" s="62"/>
      <c r="G44" s="64"/>
      <c r="H44" s="48"/>
    </row>
    <row r="45" spans="1:8" ht="15" customHeight="1" x14ac:dyDescent="0.5">
      <c r="A45" s="65"/>
      <c r="B45" s="65"/>
      <c r="C45" s="65"/>
      <c r="D45" s="50"/>
      <c r="E45" s="50"/>
      <c r="F45" s="62"/>
      <c r="G45" s="64"/>
      <c r="H45" s="48"/>
    </row>
    <row r="46" spans="1:8" ht="15" customHeight="1" x14ac:dyDescent="0.5">
      <c r="A46" s="60"/>
      <c r="B46" s="60"/>
      <c r="C46" s="65"/>
      <c r="D46" s="66"/>
      <c r="E46" s="50"/>
      <c r="F46" s="62"/>
      <c r="G46" s="64"/>
      <c r="H46" s="48"/>
    </row>
    <row r="47" spans="1:8" ht="15" customHeight="1" x14ac:dyDescent="0.5">
      <c r="A47" s="48"/>
      <c r="B47" s="48"/>
      <c r="C47" s="49"/>
      <c r="D47" s="50"/>
      <c r="E47" s="51"/>
      <c r="F47" s="49"/>
      <c r="G47" s="49"/>
      <c r="H47" s="48"/>
    </row>
    <row r="48" spans="1:8" ht="15" customHeight="1" x14ac:dyDescent="0.5">
      <c r="A48" s="63"/>
      <c r="B48" s="48"/>
      <c r="C48" s="49"/>
      <c r="D48" s="50"/>
      <c r="E48" s="51"/>
      <c r="F48" s="49"/>
      <c r="G48" s="62"/>
      <c r="H48" s="60"/>
    </row>
  </sheetData>
  <mergeCells count="10">
    <mergeCell ref="A1:H1"/>
    <mergeCell ref="A15:H15"/>
    <mergeCell ref="B22:F22"/>
    <mergeCell ref="B23:F23"/>
    <mergeCell ref="B39:F39"/>
    <mergeCell ref="B24:F24"/>
    <mergeCell ref="B27:F27"/>
    <mergeCell ref="B34:F34"/>
    <mergeCell ref="B35:F35"/>
    <mergeCell ref="B36:F36"/>
  </mergeCells>
  <conditionalFormatting sqref="G27 G39">
    <cfRule type="cellIs" dxfId="0" priority="1" operator="lessThan">
      <formula>0</formula>
    </cfRule>
  </conditionalFormatting>
  <pageMargins left="0.7" right="0.7" top="0.75" bottom="0.75" header="0.3" footer="0.3"/>
  <pageSetup paperSize="24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Franco</dc:creator>
  <cp:lastModifiedBy>Riley Franco</cp:lastModifiedBy>
  <cp:lastPrinted>2025-12-09T05:38:14Z</cp:lastPrinted>
  <dcterms:created xsi:type="dcterms:W3CDTF">2025-10-27T07:35:55Z</dcterms:created>
  <dcterms:modified xsi:type="dcterms:W3CDTF">2025-12-09T05:42:26Z</dcterms:modified>
</cp:coreProperties>
</file>